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space\app-checklist-pqn\templates_excel\"/>
    </mc:Choice>
  </mc:AlternateContent>
  <xr:revisionPtr revIDLastSave="0" documentId="13_ncr:1_{98B60BB7-EB00-4C4B-9E2F-FDD49DE70D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Print_Area" localSheetId="0">Hoja1!$A$1:$C$65</definedName>
    <definedName name="hukjhkjh">Hoja1!$B$40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" l="1"/>
  <c r="B32" i="1"/>
  <c r="B55" i="1"/>
  <c r="B54" i="1"/>
  <c r="B31" i="1"/>
</calcChain>
</file>

<file path=xl/sharedStrings.xml><?xml version="1.0" encoding="utf-8"?>
<sst xmlns="http://schemas.openxmlformats.org/spreadsheetml/2006/main" count="69" uniqueCount="69">
  <si>
    <t>REALIZAR WINDOWS UPDATE</t>
  </si>
  <si>
    <t>CONFIGURAR SEGURIDAD DE JAVA PARA ACCESO DE ORACLE WEB</t>
  </si>
  <si>
    <t>PREDETERMINAR ACROBAT READER, PARA ABRIR ARCHIVOS PDF</t>
  </si>
  <si>
    <t>COPIAR LOS ACCESOS DIRECTOS APLICACIONES COLOMBIA Y COSTARICA (CREAR .BAT EN ICONO DE ORACLE PARA LA CONEXIÓN A O:\  )</t>
  </si>
  <si>
    <t xml:space="preserve">CAMBIAR LA CONFIGURACION REGIONAL PARA SEPARACION DE MILES (,) Y DECIMALES (.)  </t>
  </si>
  <si>
    <t>COLOCAR A TURIN (FILE://172.16.1.22) SITIOS DE CONFIANZA DESDE OPCIONES DE INTERNET</t>
  </si>
  <si>
    <t>ID</t>
  </si>
  <si>
    <t>DESCRIPCIÓN</t>
  </si>
  <si>
    <t>CHECKLIST CONFIGURACIÓN Y ENTREGA TERMINALES PROQUINAL 2025</t>
  </si>
  <si>
    <t>VoBo</t>
  </si>
  <si>
    <t>CON USUARIO DE DOMINIO</t>
  </si>
  <si>
    <t>CAMBIAR LA CONFIGURACION DE ENERGIA DEL EQUIPO ( COLOCAR NUNCA EN LAS OPCIONES DE ENERGIA - BATERIA SOLO 3 HORAS Y DESACTIVAR INICIO RAPIDO )</t>
  </si>
  <si>
    <t>CREAR ACCESO DIRECTO A DARUMA: https://proquinal.darumasoftware.com/app.php/staff/ - (Dejar como favoritos en navegador)</t>
  </si>
  <si>
    <t>CREAR ACCEDO DIRECTO A MAYTE: https://mayte.spradling.group/  (Dejar como favoritos en navegador)</t>
  </si>
  <si>
    <t>CREAR ACCESO DIRECTO A PAGINA DE SUSTANCIAS QUIMICAS: https://spradling.aybapps.net/PROQUINAL.SUSTANCIAS/(S(bfumxph5htfsk0jv0dpbke5k))/InicioSustancias.aspx</t>
  </si>
  <si>
    <t>CONFIGURAR SCADA : \\172.16.1.96\ DESDE ELNAVEGADOR</t>
  </si>
  <si>
    <t>DEJAR PREDETERMINADA LA PAGINA  https://spradling.group/en-la en todos los navegadores</t>
  </si>
  <si>
    <t>HABILITAR PUNTO DE RESTAURACION AUTOMATICA PARA LA UNDIAD C: Y CREAR UN PUNTO DE RESTAURACIÓN</t>
  </si>
  <si>
    <t>PARA CONTROL DE INVENTARIO</t>
  </si>
  <si>
    <t>CON USUARIO LOCAL SOPORTE</t>
  </si>
  <si>
    <t>Técnico</t>
  </si>
  <si>
    <t>INSTALAR TEAMVIEWER HOST DE (recursospqn$/Instaladores Sistemas/TeamViewer/2025 - Host) Y REGISTRAR EN LA CONSULA ADMIN (Primer nombre y apellido más el hostname del equipo entre paréntesis), LUEGO COMPRUEBE ACTUALIZACIONES DEL PROGRAMA</t>
  </si>
  <si>
    <t xml:space="preserve">INSTALAR MEDIANTE EL MANUAL ORACLE ERP PROQUINAL S.A.S "recursospqn$/Recursos 2014/Oracle Install/MANUAL DE INSTALACIÓN ORACLE.pdf" </t>
  </si>
  <si>
    <t>RENOMBRAR CARPETAS DE ORACLE "OraWin95.old, Ora9i.old"</t>
  </si>
  <si>
    <t>COPIAR Y PEGAR LAS CARPETAS DE ORACLE EN C:/ DE LA RUTA: "//recursospqn$/Recursos 2014/Oracle/Oracle Client/Orawin95 y Ora9i/Usuario Estandar/ "ORA9I" Y "ORAWIN95"</t>
  </si>
  <si>
    <t>CREAR LA CARPETA C:/Listados</t>
  </si>
  <si>
    <t>EXPORTAR REGEDIT DEL USUARIO O EJECUTAR SEGÚN AREA //recursospqn$/Recursos 2014/Oracle/Oracle Client/ORACLE64</t>
  </si>
  <si>
    <t>INSTALAR JAVA JRE 8 VERSION 341 (Desde recursospqn$/Instaladores Sistemas/JAVA 8 341)</t>
  </si>
  <si>
    <t>COPIAR Y PEGAR LAS CARPETAS ORAPQNEN  (la raíz de C:/) Y BACKUP DE TURIN EN (C:/Windows)</t>
  </si>
  <si>
    <t>CREAR VARIABLE DE ENTORNO PARA ORACLE (Nombre: TNS_ADMIN valor: O:/tnsnames)</t>
  </si>
  <si>
    <t>PROBAR ACCESO A APLICACIONES COLOMBIA CON TUS CREDENCIALES (Antes debe conectar la unidad de red O://172.16.1.22/orapqn$)</t>
  </si>
  <si>
    <t>INSTALAR CITRIX WORKSPACE APP (Desde la web oficial)</t>
  </si>
  <si>
    <t>INSTALAR ADOBE ACROBAT READER PDF  (Desde la web oficial sin McAfee en español)</t>
  </si>
  <si>
    <t>INSTALAR DELL SUPPORT ASSIST O LENOVO SERVICES BRIDGE (Desde la web oficial)</t>
  </si>
  <si>
    <t>INSTALAR GOOGLE CHROME ENTERPRISE (Desde la web oficial)</t>
  </si>
  <si>
    <t>CREAR USUARIO LOCAL "Soporte" ASIGNARLE LA CONTRASEÑA Y AGREGARLO AL GRUPO ADMINISTRADORES (Desde compmgmt.msc)</t>
  </si>
  <si>
    <t>HABILITAR USUARIO ADMINISTRADOR Y RENOMBRARLO A "Adminpc_pqn" ASIGNARLE LA CONTRASEÑA</t>
  </si>
  <si>
    <t>REALIZAR ACTUALIZACIÓN DE DRIVERS (Desde la página oficial del fabricante o usando SupportAssits)</t>
  </si>
  <si>
    <t xml:space="preserve">INSTALAR Y ACTIVAR CARACTERISTICAS ADICIONALES DE FRAMEWORK 3.5 (Desde pagina microsoft) </t>
  </si>
  <si>
    <t>INSTALAR FUENTES CORPORATIVAS, UBICADAS EN (recursospqn$/Instaladores Sistemas/Fuentes corporativas)</t>
  </si>
  <si>
    <t>PARTICIONAR EL DISCO DURO. PARA DISCO DE 500GB (250 para D resto para C)  PARA DISCO DE 1TB  (600 para D el resto para C) (La partición D: debe llamarse "Datos") DISCO DE 250GB NO SE PARTICIONA</t>
  </si>
  <si>
    <t>SUBIR EL EQUIPO AL DOMINIO DE RED (proquinal.com), EL NOMBRE DEL EQUIPO DEBE CONTENER EL SERIAL DEL EQUIPO. Ejemplo "CBY45TF-PQN-COL" (Tomar siempre los últimos siete digitos del serial más la compañía y su regional)</t>
  </si>
  <si>
    <t>EN LA DESCRIPCION DEL EQUIPO COLOCAR. Ejemplo "Activo xxxxx, correo@spradling.group"</t>
  </si>
  <si>
    <t>DESDE EL DIRECTORIO ACTIVO EN LA OU "Computers" ASIGNARLE DESCRIPCIÓN. Ejemplo "Activo xxxxx, correo@spradling.group" LUEGO MOVER EL EQUIPO A LA OU "Equipos Proquinal"</t>
  </si>
  <si>
    <t>AGREGAR EN PROPIEDADES DE RED DNS. COMO PRINCIPAL 172.16.1.1 Y COMO ALTERNATIVO 172.16.1.32</t>
  </si>
  <si>
    <t>CREAR VARIABLE PATH PARA INGRESO ORACLE WEB CON VALOR: C:/Orapqn/lib60</t>
  </si>
  <si>
    <t>INSTALAR MICROSOFT EDGE Y GOOGLE CHROME ENTERPRISE</t>
  </si>
  <si>
    <t>VERIFICAR QUE EL EQUIPO QUEDE CON ACTUALIZACIONES AL DIA (WINDOWS UPDATE, OFFICE, ETC)</t>
  </si>
  <si>
    <t>DESINSTALAR PROGRAMAS DE WINDOWS BASURA COMO (Xbox, Solitario, Noticia, Tiempo, To Do, etc...)</t>
  </si>
  <si>
    <t>DIRECCIONAR MIS DOCUMENTOS A "D:/Datos"</t>
  </si>
  <si>
    <t>SINCRONIZAR ONEDRIVE EN LA RAÍZ DE D:/ LUEGO CONFIGURAR ONEDRIVE</t>
  </si>
  <si>
    <t>HABILITAR CONEXIÓN A ESCRITORIO REMOTO CON EL USUARIO DE DOMINIO</t>
  </si>
  <si>
    <t>DEJAR EN EL ESCRITORIO LOS ACCESOS DIRECTOS DE ORACLE WEB CO Y CR EN FORMATO .EXE</t>
  </si>
  <si>
    <t>INSTALAR DRIVERS DE IMPRESORAS (ROTULOS, ZEBRAS) E IMPORTAR ARCHIVO REGEDIT</t>
  </si>
  <si>
    <t>ASIGNAR ACTIVO FIJO (Solo si el equipo no la tiene)</t>
  </si>
  <si>
    <t>ACTUALIZAR DATOS EN ORACLE WEB CO. AL EQUIPO = 1-2-4-5-6-7-8-79-300-331-339-413-414-415-449-451-464. AL MONITOR = 1-2-4-13-15-77-79-331-413-415-453-464</t>
  </si>
  <si>
    <t>DILIGENCIAR CHECKLIST Y DEJARLO EN "//172.16.1.22/checklist$/2025/PQN"</t>
  </si>
  <si>
    <t>REVISAR QUE EN INTUNE TENGA LA CATEGORÍA, ORGANIZACIÓN, USUARIO, ETIQUETA Y PERTENENCIA A LOS GRUPOS, EN NOTAS COLOCAR EL ACTIVO Y CORREO ELECTRONICO</t>
  </si>
  <si>
    <t>SINCRONIZAR LA CUENTA DESDE LA CONFIGURACIÓN Y CUANDO FINALICE REINICIAR EL EQUIPO (Esto es para que los cambios realizados en Intune se apliquen)</t>
  </si>
  <si>
    <t>REVISAR QUE EN ENTRA ID SOLO APAREZCA UNA VEZ Y SU TIPO DE COMBINACIÓN SEA "Microsoft Entra hybrid joined"</t>
  </si>
  <si>
    <t>REVISAR QUE EN DEFENDER EL NOMBRE DEL EQUIPO TERMINE EN "X.proquina.com" TENGA LA ETIQUETA DE LA COMPAÑÍA Y EL OTRO TENGA LA ETIQUETA "EQUIPOS_BAJA" SIN EXCLUIRLO</t>
  </si>
  <si>
    <t>AL EQUIPO ANTIGUO REALIZAR OFFBOARDING ANTES DE ELIMINARLO DE LAS CONSOLAS (Para garantizar el conteo de equipos)</t>
  </si>
  <si>
    <t>VERIFICAR QUE LAS DOS PARTICIONES DEL DISCO DURO SE HAYAN AUTO CIFRADO</t>
  </si>
  <si>
    <t>REALIZAR ACTA DE ENTREGA DEL EQUIPO. UBICADO EN "//172.16.1.22/checklist$/Actas de entrega" COPIAR Y PEGAR CUALQUIER ARCHIVO, RENOMBRARLO, EDITARLO E IMPRIMIRLO</t>
  </si>
  <si>
    <t>SOLICITAR EL TRASLADO DEL EQUIPO A LA SUPERVISORA MEDIANTE TEAMS COMPARTIENDOLE EL NÚMERO DEL A.F EQUIPO Y MONITOR</t>
  </si>
  <si>
    <t>REALIZAR MANTENIMIENTO PREVENTIVO (Solo si la antigüedad del equipo superar los 6 meses)</t>
  </si>
  <si>
    <t>REALIZAR LIMPIEZA DE PANTALLA Y TECLADO (Si es nuevo no aplica)</t>
  </si>
  <si>
    <t>REALIZAR EL TRASLADO DEL EQUIPO VIEJO, DEJARLO VINIPELADO Y MARCADO CON CINTA. DEJARLO EN EL PUESTO DE LA SUPERVISORA Y PUBLICAR EL RECIBIMIENTO EN EL CANAL DE TEAMS</t>
  </si>
  <si>
    <t>INSTALAR OFFICE 365 (SI EL USUARIO TIENE LICENCIA) SINO INSTALAR 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</si>
</sst>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8"/>
      <name val="Arial"/>
      <family val="2"/>
    </font>
    <font>
      <b/>
      <sz val="10"/>
      <color theme="0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left" wrapText="1"/>
    </xf>
    <xf numFmtId="0" fontId="2" fillId="0" borderId="0" xfId="0" applyFont="1"/>
    <xf numFmtId="0" fontId="3" fillId="0" borderId="0" xfId="0" applyFont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left" wrapText="1"/>
    </xf>
    <xf numFmtId="0" fontId="2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0" fontId="5" fillId="3" borderId="2" xfId="0" applyFont="1" applyFill="1" applyBorder="1" applyAlignment="1">
      <alignment horizontal="center" wrapText="1"/>
    </xf>
    <xf numFmtId="0" fontId="5" fillId="3" borderId="3" xfId="0" applyFont="1" applyFill="1" applyBorder="1" applyAlignment="1">
      <alignment horizontal="center" wrapText="1"/>
    </xf>
  </cellXfs>
  <cellStyles count="1">
    <cellStyle name="Normal" xfId="0" builtinId="0"/>
  </cellStyles>
  <dxfs count="5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>
          <bgColor rgb="FFFF8181"/>
        </patternFill>
      </fill>
      <border>
        <vertical/>
        <horizontal/>
      </border>
    </dxf>
    <dxf>
      <font>
        <color theme="0"/>
      </font>
      <fill>
        <patternFill>
          <bgColor theme="1" tint="4.9989318521683403E-2"/>
        </patternFill>
      </fill>
      <border>
        <vertical/>
        <horizontal/>
      </border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>
          <bgColor rgb="FFFF8181"/>
        </patternFill>
      </fill>
      <border>
        <vertical/>
        <horizontal/>
      </border>
    </dxf>
    <dxf>
      <font>
        <color theme="0"/>
      </font>
      <fill>
        <patternFill>
          <bgColor theme="1" tint="4.9989318521683403E-2"/>
        </patternFill>
      </fill>
      <border>
        <vertical/>
        <horizontal/>
      </border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>
          <bgColor rgb="FFFF8181"/>
        </patternFill>
      </fill>
      <border>
        <vertical/>
        <horizontal/>
      </border>
    </dxf>
    <dxf>
      <font>
        <color theme="0"/>
      </font>
      <fill>
        <patternFill>
          <bgColor theme="1" tint="4.9989318521683403E-2"/>
        </patternFill>
      </fill>
      <border>
        <vertical/>
        <horizontal/>
      </border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>
          <bgColor rgb="FFFF8181"/>
        </patternFill>
      </fill>
      <border>
        <vertical/>
        <horizontal/>
      </border>
    </dxf>
    <dxf>
      <font>
        <color theme="0"/>
      </font>
      <fill>
        <patternFill>
          <bgColor theme="1" tint="4.9989318521683403E-2"/>
        </patternFill>
      </fill>
      <border>
        <vertical/>
        <horizontal/>
      </border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Invisible" pivot="0" table="0" count="0" xr9:uid="{ACC82A94-F453-4B8C-8D32-29942367B2BD}"/>
  </tableStyles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9248776</xdr:colOff>
      <xdr:row>0</xdr:row>
      <xdr:rowOff>38100</xdr:rowOff>
    </xdr:from>
    <xdr:to>
      <xdr:col>4</xdr:col>
      <xdr:colOff>19051</xdr:colOff>
      <xdr:row>1</xdr:row>
      <xdr:rowOff>266155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12A5712-C619-88CC-988A-9DF4079D2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96426" y="38100"/>
          <a:ext cx="1123950" cy="513805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</xdr:colOff>
      <xdr:row>0</xdr:row>
      <xdr:rowOff>57150</xdr:rowOff>
    </xdr:from>
    <xdr:to>
      <xdr:col>1</xdr:col>
      <xdr:colOff>933450</xdr:colOff>
      <xdr:row>1</xdr:row>
      <xdr:rowOff>241111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7006FA4-0675-3711-2424-2F449A467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50" y="57150"/>
          <a:ext cx="1123950" cy="4697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H73"/>
  <sheetViews>
    <sheetView showGridLines="0" tabSelected="1" zoomScaleNormal="100" workbookViewId="0">
      <selection activeCell="C3" sqref="C3"/>
    </sheetView>
  </sheetViews>
  <sheetFormatPr baseColWidth="10" defaultColWidth="11.42578125" defaultRowHeight="12.75" x14ac:dyDescent="0.2"/>
  <cols>
    <col min="1" max="1" width="3.7109375" style="4" customWidth="1"/>
    <col min="2" max="2" width="138.7109375" style="4" customWidth="1"/>
    <col min="3" max="3" width="8.28515625" style="4" bestFit="1" customWidth="1"/>
    <col min="4" max="4" width="8.28515625" style="4" customWidth="1"/>
    <col min="5" max="16384" width="11.42578125" style="4"/>
  </cols>
  <sheetData>
    <row r="1" spans="1:8" ht="22.9" customHeight="1" x14ac:dyDescent="0.25">
      <c r="A1" s="19" t="s">
        <v>8</v>
      </c>
      <c r="B1" s="19"/>
      <c r="C1" s="19"/>
      <c r="D1" s="19"/>
      <c r="E1" s="3"/>
      <c r="G1"/>
      <c r="H1"/>
    </row>
    <row r="2" spans="1:8" ht="24.6" customHeight="1" x14ac:dyDescent="0.25">
      <c r="A2" s="20"/>
      <c r="B2" s="20"/>
      <c r="C2" s="20"/>
      <c r="D2" s="20"/>
      <c r="E2" s="3"/>
      <c r="G2"/>
      <c r="H2"/>
    </row>
    <row r="3" spans="1:8" ht="15" customHeight="1" x14ac:dyDescent="0.2">
      <c r="A3" s="10" t="s">
        <v>6</v>
      </c>
      <c r="B3" s="8" t="s">
        <v>7</v>
      </c>
      <c r="C3" s="9" t="s">
        <v>20</v>
      </c>
      <c r="D3" s="9" t="s">
        <v>9</v>
      </c>
    </row>
    <row r="4" spans="1:8" ht="14.65" customHeight="1" x14ac:dyDescent="0.25">
      <c r="A4" s="21" t="s">
        <v>19</v>
      </c>
      <c r="B4" s="21"/>
      <c r="C4" s="21"/>
      <c r="D4" s="21"/>
      <c r="F4"/>
    </row>
    <row r="5" spans="1:8" ht="15" x14ac:dyDescent="0.2">
      <c r="A5" s="15">
        <v>1</v>
      </c>
      <c r="B5" s="11" t="s">
        <v>35</v>
      </c>
      <c r="C5" s="12"/>
      <c r="D5" s="12"/>
    </row>
    <row r="6" spans="1:8" ht="15" x14ac:dyDescent="0.2">
      <c r="A6" s="15">
        <v>2</v>
      </c>
      <c r="B6" s="11" t="s">
        <v>36</v>
      </c>
      <c r="C6" s="12"/>
      <c r="D6" s="12"/>
    </row>
    <row r="7" spans="1:8" ht="15" x14ac:dyDescent="0.25">
      <c r="A7" s="15">
        <v>3</v>
      </c>
      <c r="B7" s="11" t="s">
        <v>0</v>
      </c>
      <c r="C7" s="12"/>
      <c r="D7" s="12"/>
      <c r="E7"/>
    </row>
    <row r="8" spans="1:8" ht="15" x14ac:dyDescent="0.2">
      <c r="A8" s="15">
        <v>4</v>
      </c>
      <c r="B8" s="11" t="s">
        <v>37</v>
      </c>
      <c r="C8" s="12"/>
      <c r="D8" s="12"/>
    </row>
    <row r="9" spans="1:8" ht="15" x14ac:dyDescent="0.2">
      <c r="A9" s="15">
        <v>5</v>
      </c>
      <c r="B9" s="11" t="s">
        <v>38</v>
      </c>
      <c r="C9" s="12"/>
      <c r="D9" s="12"/>
    </row>
    <row r="10" spans="1:8" ht="15" x14ac:dyDescent="0.2">
      <c r="A10" s="15">
        <v>6</v>
      </c>
      <c r="B10" s="11" t="s">
        <v>39</v>
      </c>
      <c r="C10" s="12"/>
      <c r="D10" s="12"/>
    </row>
    <row r="11" spans="1:8" ht="25.5" x14ac:dyDescent="0.2">
      <c r="A11" s="15">
        <v>7</v>
      </c>
      <c r="B11" s="11" t="s">
        <v>40</v>
      </c>
      <c r="C11" s="12"/>
      <c r="D11" s="12"/>
    </row>
    <row r="12" spans="1:8" ht="25.5" x14ac:dyDescent="0.2">
      <c r="A12" s="15">
        <v>8</v>
      </c>
      <c r="B12" s="11" t="s">
        <v>41</v>
      </c>
      <c r="C12" s="12"/>
      <c r="D12" s="12"/>
    </row>
    <row r="13" spans="1:8" ht="15" x14ac:dyDescent="0.2">
      <c r="A13" s="15">
        <v>9</v>
      </c>
      <c r="B13" s="11" t="s">
        <v>42</v>
      </c>
      <c r="C13" s="12"/>
      <c r="D13" s="12"/>
    </row>
    <row r="14" spans="1:8" ht="25.5" x14ac:dyDescent="0.2">
      <c r="A14" s="15">
        <v>10</v>
      </c>
      <c r="B14" s="11" t="s">
        <v>43</v>
      </c>
      <c r="C14" s="12"/>
      <c r="D14" s="12"/>
    </row>
    <row r="15" spans="1:8" ht="25.5" x14ac:dyDescent="0.2">
      <c r="A15" s="15">
        <v>11</v>
      </c>
      <c r="B15" s="11" t="s">
        <v>21</v>
      </c>
      <c r="C15" s="12"/>
      <c r="D15" s="12"/>
    </row>
    <row r="16" spans="1:8" ht="15" x14ac:dyDescent="0.2">
      <c r="A16" s="15">
        <v>12</v>
      </c>
      <c r="B16" s="11" t="s">
        <v>22</v>
      </c>
      <c r="C16" s="12"/>
      <c r="D16" s="12"/>
    </row>
    <row r="17" spans="1:4" ht="15" x14ac:dyDescent="0.2">
      <c r="A17" s="15">
        <v>13</v>
      </c>
      <c r="B17" s="13" t="s">
        <v>23</v>
      </c>
      <c r="C17" s="12"/>
      <c r="D17" s="12"/>
    </row>
    <row r="18" spans="1:4" ht="25.5" x14ac:dyDescent="0.2">
      <c r="A18" s="15">
        <v>14</v>
      </c>
      <c r="B18" s="13" t="s">
        <v>24</v>
      </c>
      <c r="C18" s="12"/>
      <c r="D18" s="12"/>
    </row>
    <row r="19" spans="1:4" ht="15" x14ac:dyDescent="0.2">
      <c r="A19" s="15">
        <v>15</v>
      </c>
      <c r="B19" s="11" t="s">
        <v>25</v>
      </c>
      <c r="C19" s="12"/>
      <c r="D19" s="12"/>
    </row>
    <row r="20" spans="1:4" ht="15" x14ac:dyDescent="0.2">
      <c r="A20" s="15">
        <v>16</v>
      </c>
      <c r="B20" s="11" t="s">
        <v>26</v>
      </c>
      <c r="C20" s="12"/>
      <c r="D20" s="12"/>
    </row>
    <row r="21" spans="1:4" ht="15" x14ac:dyDescent="0.2">
      <c r="A21" s="15">
        <v>17</v>
      </c>
      <c r="B21" s="11" t="s">
        <v>27</v>
      </c>
      <c r="C21" s="12"/>
      <c r="D21" s="12"/>
    </row>
    <row r="22" spans="1:4" ht="15" x14ac:dyDescent="0.2">
      <c r="A22" s="15">
        <v>18</v>
      </c>
      <c r="B22" s="11" t="s">
        <v>28</v>
      </c>
      <c r="C22" s="12"/>
      <c r="D22" s="12"/>
    </row>
    <row r="23" spans="1:4" ht="15" x14ac:dyDescent="0.2">
      <c r="A23" s="15">
        <v>19</v>
      </c>
      <c r="B23" s="11" t="s">
        <v>45</v>
      </c>
      <c r="C23" s="12"/>
      <c r="D23" s="12"/>
    </row>
    <row r="24" spans="1:4" ht="15" x14ac:dyDescent="0.2">
      <c r="A24" s="15">
        <v>20</v>
      </c>
      <c r="B24" s="11" t="s">
        <v>29</v>
      </c>
      <c r="C24" s="12"/>
      <c r="D24" s="12"/>
    </row>
    <row r="25" spans="1:4" ht="15" x14ac:dyDescent="0.2">
      <c r="A25" s="15">
        <v>21</v>
      </c>
      <c r="B25" s="11" t="s">
        <v>30</v>
      </c>
      <c r="C25" s="12"/>
      <c r="D25" s="12"/>
    </row>
    <row r="26" spans="1:4" ht="15" x14ac:dyDescent="0.2">
      <c r="A26" s="15">
        <v>22</v>
      </c>
      <c r="B26" s="11" t="s">
        <v>31</v>
      </c>
      <c r="C26" s="12"/>
      <c r="D26" s="12"/>
    </row>
    <row r="27" spans="1:4" ht="15" x14ac:dyDescent="0.2">
      <c r="A27" s="15">
        <v>23</v>
      </c>
      <c r="B27" s="11" t="s">
        <v>32</v>
      </c>
      <c r="C27" s="12"/>
      <c r="D27" s="12"/>
    </row>
    <row r="28" spans="1:4" ht="15" x14ac:dyDescent="0.2">
      <c r="A28" s="15">
        <v>24</v>
      </c>
      <c r="B28" s="11" t="s">
        <v>33</v>
      </c>
      <c r="C28" s="12"/>
      <c r="D28" s="12"/>
    </row>
    <row r="29" spans="1:4" ht="15" x14ac:dyDescent="0.2">
      <c r="A29" s="15">
        <v>25</v>
      </c>
      <c r="B29" s="11" t="s">
        <v>34</v>
      </c>
      <c r="C29" s="12"/>
      <c r="D29" s="12"/>
    </row>
    <row r="30" spans="1:4" ht="15" x14ac:dyDescent="0.2">
      <c r="A30" s="15">
        <v>26</v>
      </c>
      <c r="B30" s="11" t="s">
        <v>44</v>
      </c>
      <c r="C30" s="12"/>
      <c r="D30" s="12"/>
    </row>
    <row r="31" spans="1:4" ht="15" x14ac:dyDescent="0.2">
      <c r="A31" s="15">
        <v>27</v>
      </c>
      <c r="B31" s="2" t="str">
        <f>UPPER("Verificar por Regedit que aparezca la variable Scada. Nombre de cadena: Path_Scada valor=\\172.16.1.96\scada$")</f>
        <v>VERIFICAR POR REGEDIT QUE APAREZCA LA VARIABLE SCADA. NOMBRE DE CADENA: PATH_SCADA VALOR=\\172.16.1.96\SCADA$</v>
      </c>
      <c r="C31" s="12"/>
      <c r="D31" s="12"/>
    </row>
    <row r="32" spans="1:4" ht="25.5" x14ac:dyDescent="0.2">
      <c r="A32" s="15">
        <v>28</v>
      </c>
      <c r="B32" s="14" t="str">
        <f>UPPER("Verificar por Regedit que aparezca la variable para Porterias. Nombre de cadena: Path_Visitas valor=c:\fotos_visitas {si aplica}")</f>
        <v>VERIFICAR POR REGEDIT QUE APAREZCA LA VARIABLE PARA PORTERIAS. NOMBRE DE CADENA: PATH_VISITAS VALOR=C:\FOTOS_VISITAS {SI APLICA}</v>
      </c>
      <c r="C32" s="12"/>
      <c r="D32" s="12"/>
    </row>
    <row r="33" spans="1:4" ht="15.75" customHeight="1" x14ac:dyDescent="0.2">
      <c r="A33" s="22" t="s">
        <v>10</v>
      </c>
      <c r="B33" s="23"/>
      <c r="C33" s="23"/>
      <c r="D33" s="23"/>
    </row>
    <row r="34" spans="1:4" ht="25.5" x14ac:dyDescent="0.2">
      <c r="A34" s="7">
        <v>29</v>
      </c>
      <c r="B34" s="1" t="s">
        <v>11</v>
      </c>
      <c r="C34" s="12"/>
      <c r="D34" s="12"/>
    </row>
    <row r="35" spans="1:4" ht="15" x14ac:dyDescent="0.2">
      <c r="A35" s="7">
        <v>30</v>
      </c>
      <c r="B35" s="1" t="s">
        <v>49</v>
      </c>
      <c r="C35" s="12"/>
      <c r="D35" s="12"/>
    </row>
    <row r="36" spans="1:4" ht="15" x14ac:dyDescent="0.2">
      <c r="A36" s="7">
        <v>31</v>
      </c>
      <c r="B36" s="1" t="s">
        <v>50</v>
      </c>
      <c r="C36" s="12"/>
      <c r="D36" s="12"/>
    </row>
    <row r="37" spans="1:4" ht="15" x14ac:dyDescent="0.2">
      <c r="A37" s="7">
        <v>32</v>
      </c>
      <c r="B37" s="1" t="s">
        <v>48</v>
      </c>
      <c r="C37" s="12"/>
      <c r="D37" s="12"/>
    </row>
    <row r="38" spans="1:4" ht="15" x14ac:dyDescent="0.2">
      <c r="A38" s="7">
        <v>33</v>
      </c>
      <c r="B38" s="5" t="s">
        <v>51</v>
      </c>
      <c r="C38" s="12"/>
      <c r="D38" s="12"/>
    </row>
    <row r="39" spans="1:4" ht="15" x14ac:dyDescent="0.2">
      <c r="A39" s="7">
        <v>34</v>
      </c>
      <c r="B39" s="5" t="s">
        <v>5</v>
      </c>
      <c r="C39" s="12"/>
      <c r="D39" s="12"/>
    </row>
    <row r="40" spans="1:4" ht="15" x14ac:dyDescent="0.2">
      <c r="A40" s="7">
        <v>35</v>
      </c>
      <c r="B40" s="2" t="s">
        <v>2</v>
      </c>
      <c r="C40" s="12"/>
      <c r="D40" s="12"/>
    </row>
    <row r="41" spans="1:4" ht="15" x14ac:dyDescent="0.2">
      <c r="A41" s="7">
        <v>36</v>
      </c>
      <c r="B41" s="1" t="str">
        <f>UPPER("crear .bat para reconexion con la UNIDAD O://172.16.1.22/orapqn$")</f>
        <v>CREAR .BAT PARA RECONEXION CON LA UNIDAD O://172.16.1.22/ORAPQN$</v>
      </c>
      <c r="C41" s="12"/>
      <c r="D41" s="12"/>
    </row>
    <row r="42" spans="1:4" ht="15" x14ac:dyDescent="0.2">
      <c r="A42" s="7">
        <v>37</v>
      </c>
      <c r="B42" s="6" t="s">
        <v>3</v>
      </c>
      <c r="C42" s="12"/>
      <c r="D42" s="12"/>
    </row>
    <row r="43" spans="1:4" ht="15" x14ac:dyDescent="0.2">
      <c r="A43" s="7">
        <v>38</v>
      </c>
      <c r="B43" s="6" t="s">
        <v>68</v>
      </c>
      <c r="C43" s="12"/>
      <c r="D43" s="12"/>
    </row>
    <row r="44" spans="1:4" ht="15" x14ac:dyDescent="0.2">
      <c r="A44" s="7">
        <v>39</v>
      </c>
      <c r="B44" s="2" t="s">
        <v>46</v>
      </c>
      <c r="C44" s="12"/>
      <c r="D44" s="12"/>
    </row>
    <row r="45" spans="1:4" ht="15" x14ac:dyDescent="0.2">
      <c r="A45" s="7">
        <v>40</v>
      </c>
      <c r="B45" s="6" t="s">
        <v>52</v>
      </c>
      <c r="C45" s="12"/>
      <c r="D45" s="12"/>
    </row>
    <row r="46" spans="1:4" ht="15" x14ac:dyDescent="0.2">
      <c r="A46" s="7">
        <v>41</v>
      </c>
      <c r="B46" s="6" t="s">
        <v>1</v>
      </c>
      <c r="C46" s="12"/>
      <c r="D46" s="12"/>
    </row>
    <row r="47" spans="1:4" ht="15" x14ac:dyDescent="0.2">
      <c r="A47" s="7">
        <v>42</v>
      </c>
      <c r="B47" s="2" t="s">
        <v>4</v>
      </c>
      <c r="C47" s="12"/>
      <c r="D47" s="12"/>
    </row>
    <row r="48" spans="1:4" ht="15" x14ac:dyDescent="0.2">
      <c r="A48" s="7">
        <v>43</v>
      </c>
      <c r="B48" s="6" t="s">
        <v>12</v>
      </c>
      <c r="C48" s="12"/>
      <c r="D48" s="12"/>
    </row>
    <row r="49" spans="1:4" ht="15" x14ac:dyDescent="0.2">
      <c r="A49" s="7">
        <v>44</v>
      </c>
      <c r="B49" s="6" t="s">
        <v>13</v>
      </c>
      <c r="C49" s="12"/>
      <c r="D49" s="12"/>
    </row>
    <row r="50" spans="1:4" ht="25.5" x14ac:dyDescent="0.2">
      <c r="A50" s="7">
        <v>45</v>
      </c>
      <c r="B50" s="6" t="s">
        <v>14</v>
      </c>
      <c r="C50" s="12"/>
      <c r="D50" s="12"/>
    </row>
    <row r="51" spans="1:4" ht="15" x14ac:dyDescent="0.2">
      <c r="A51" s="7">
        <v>46</v>
      </c>
      <c r="B51" s="6" t="s">
        <v>15</v>
      </c>
      <c r="C51" s="12"/>
      <c r="D51" s="12"/>
    </row>
    <row r="52" spans="1:4" ht="14.25" customHeight="1" x14ac:dyDescent="0.2">
      <c r="A52" s="7">
        <v>47</v>
      </c>
      <c r="B52" s="5" t="s">
        <v>53</v>
      </c>
      <c r="C52" s="12"/>
      <c r="D52" s="12"/>
    </row>
    <row r="53" spans="1:4" ht="15" x14ac:dyDescent="0.2">
      <c r="A53" s="7">
        <v>48</v>
      </c>
      <c r="B53" s="2" t="s">
        <v>16</v>
      </c>
      <c r="C53" s="12"/>
      <c r="D53" s="12"/>
    </row>
    <row r="54" spans="1:4" ht="25.5" x14ac:dyDescent="0.2">
      <c r="A54" s="7">
        <v>49</v>
      </c>
      <c r="B54" s="1" t="str">
        <f>UPPER("Configurar autologon del usuario por Regedit: autoadminlogon{cambiar valor de 0 a 1} / defaultuser {usuario de la terminal incluido el dominio}")</f>
        <v>CONFIGURAR AUTOLOGON DEL USUARIO POR REGEDIT: AUTOADMINLOGON{CAMBIAR VALOR DE 0 A 1} / DEFAULTUSER {USUARIO DE LA TERMINAL INCLUIDO EL DOMINIO}</v>
      </c>
      <c r="C54" s="12"/>
      <c r="D54" s="12"/>
    </row>
    <row r="55" spans="1:4" ht="15" x14ac:dyDescent="0.2">
      <c r="A55" s="7">
        <v>50</v>
      </c>
      <c r="B55" s="1" t="str">
        <f>UPPER("crear clave: 'DefaultPassword' con valor {contraseña del usuario}")</f>
        <v>CREAR CLAVE: 'DEFAULTPASSWORD' CON VALOR {CONTRASEÑA DEL USUARIO}</v>
      </c>
      <c r="C55" s="12"/>
      <c r="D55" s="12"/>
    </row>
    <row r="56" spans="1:4" ht="15" x14ac:dyDescent="0.2">
      <c r="A56" s="7">
        <v>51</v>
      </c>
      <c r="B56" s="1" t="s">
        <v>47</v>
      </c>
      <c r="C56" s="12"/>
      <c r="D56" s="12"/>
    </row>
    <row r="57" spans="1:4" ht="15" x14ac:dyDescent="0.2">
      <c r="A57" s="7">
        <v>52</v>
      </c>
      <c r="B57" s="5" t="s">
        <v>17</v>
      </c>
      <c r="C57" s="12"/>
      <c r="D57" s="12"/>
    </row>
    <row r="58" spans="1:4" ht="12.75" customHeight="1" x14ac:dyDescent="0.2">
      <c r="A58" s="22" t="s">
        <v>18</v>
      </c>
      <c r="B58" s="23"/>
      <c r="C58" s="23"/>
      <c r="D58" s="23"/>
    </row>
    <row r="59" spans="1:4" ht="15" x14ac:dyDescent="0.2">
      <c r="A59" s="7">
        <v>53</v>
      </c>
      <c r="B59" s="2" t="s">
        <v>54</v>
      </c>
      <c r="C59" s="12"/>
      <c r="D59" s="12"/>
    </row>
    <row r="60" spans="1:4" ht="25.5" x14ac:dyDescent="0.2">
      <c r="A60" s="7">
        <v>54</v>
      </c>
      <c r="B60" s="2" t="s">
        <v>55</v>
      </c>
      <c r="C60" s="12"/>
      <c r="D60" s="12"/>
    </row>
    <row r="61" spans="1:4" ht="15" x14ac:dyDescent="0.2">
      <c r="A61" s="7">
        <v>55</v>
      </c>
      <c r="B61" s="2" t="s">
        <v>56</v>
      </c>
      <c r="C61" s="12"/>
      <c r="D61" s="12"/>
    </row>
    <row r="62" spans="1:4" ht="25.5" x14ac:dyDescent="0.2">
      <c r="A62" s="7">
        <v>56</v>
      </c>
      <c r="B62" s="2" t="s">
        <v>57</v>
      </c>
      <c r="C62" s="12"/>
      <c r="D62" s="12"/>
    </row>
    <row r="63" spans="1:4" ht="25.5" x14ac:dyDescent="0.2">
      <c r="A63" s="7">
        <v>57</v>
      </c>
      <c r="B63" s="2" t="s">
        <v>58</v>
      </c>
      <c r="C63" s="12"/>
      <c r="D63" s="12"/>
    </row>
    <row r="64" spans="1:4" ht="15" x14ac:dyDescent="0.2">
      <c r="A64" s="7">
        <v>58</v>
      </c>
      <c r="B64" s="2" t="s">
        <v>59</v>
      </c>
      <c r="C64" s="12"/>
      <c r="D64" s="12"/>
    </row>
    <row r="65" spans="1:4" ht="25.5" x14ac:dyDescent="0.2">
      <c r="A65" s="7">
        <v>59</v>
      </c>
      <c r="B65" s="2" t="s">
        <v>60</v>
      </c>
      <c r="C65" s="12"/>
      <c r="D65" s="12"/>
    </row>
    <row r="66" spans="1:4" ht="15" x14ac:dyDescent="0.2">
      <c r="A66" s="7">
        <v>60</v>
      </c>
      <c r="B66" s="2" t="s">
        <v>61</v>
      </c>
      <c r="C66" s="12"/>
      <c r="D66" s="12"/>
    </row>
    <row r="67" spans="1:4" ht="15" x14ac:dyDescent="0.2">
      <c r="A67" s="7">
        <v>61</v>
      </c>
      <c r="B67" s="2" t="s">
        <v>62</v>
      </c>
      <c r="C67" s="12"/>
      <c r="D67" s="12"/>
    </row>
    <row r="68" spans="1:4" ht="25.5" x14ac:dyDescent="0.2">
      <c r="A68" s="7">
        <v>62</v>
      </c>
      <c r="B68" s="2" t="s">
        <v>63</v>
      </c>
      <c r="C68" s="12"/>
      <c r="D68" s="12"/>
    </row>
    <row r="69" spans="1:4" ht="32.25" customHeight="1" x14ac:dyDescent="0.2">
      <c r="A69" s="7">
        <v>63</v>
      </c>
      <c r="B69" s="2" t="s">
        <v>64</v>
      </c>
      <c r="C69" s="12"/>
      <c r="D69" s="12"/>
    </row>
    <row r="70" spans="1:4" ht="15" x14ac:dyDescent="0.2">
      <c r="A70" s="7">
        <v>64</v>
      </c>
      <c r="B70" s="2" t="s">
        <v>65</v>
      </c>
      <c r="C70" s="12"/>
      <c r="D70" s="12"/>
    </row>
    <row r="71" spans="1:4" ht="15" x14ac:dyDescent="0.2">
      <c r="A71" s="7">
        <v>65</v>
      </c>
      <c r="B71" s="2" t="s">
        <v>66</v>
      </c>
      <c r="C71" s="12"/>
      <c r="D71" s="12"/>
    </row>
    <row r="72" spans="1:4" ht="25.5" x14ac:dyDescent="0.2">
      <c r="A72" s="7">
        <v>66</v>
      </c>
      <c r="B72" s="2" t="s">
        <v>67</v>
      </c>
      <c r="C72" s="12"/>
      <c r="D72" s="12"/>
    </row>
    <row r="73" spans="1:4" ht="31.5" customHeight="1" x14ac:dyDescent="0.25">
      <c r="A73" s="16"/>
      <c r="B73" s="17"/>
      <c r="C73" s="17"/>
      <c r="D73" s="18"/>
    </row>
  </sheetData>
  <mergeCells count="5">
    <mergeCell ref="A73:D73"/>
    <mergeCell ref="A1:D2"/>
    <mergeCell ref="A4:D4"/>
    <mergeCell ref="A33:D33"/>
    <mergeCell ref="A58:D58"/>
  </mergeCells>
  <conditionalFormatting sqref="C6:D30 D5">
    <cfRule type="cellIs" dxfId="32" priority="14" operator="equal">
      <formula>"PD"</formula>
    </cfRule>
    <cfRule type="cellIs" dxfId="31" priority="15" operator="equal">
      <formula>"N/A"</formula>
    </cfRule>
    <cfRule type="cellIs" dxfId="30" priority="16" operator="equal">
      <formula>"OK"</formula>
    </cfRule>
    <cfRule type="cellIs" dxfId="29" priority="17" operator="equal">
      <formula>"ok"</formula>
    </cfRule>
  </conditionalFormatting>
  <conditionalFormatting sqref="C31:D32">
    <cfRule type="containsText" dxfId="28" priority="25" operator="containsText" text="pen">
      <formula>NOT(ISERROR(SEARCH("pen",C31)))</formula>
    </cfRule>
    <cfRule type="containsText" dxfId="27" priority="26" operator="containsText" text="N/A">
      <formula>NOT(ISERROR(SEARCH("N/A",C31)))</formula>
    </cfRule>
    <cfRule type="containsText" dxfId="26" priority="27" operator="containsText" text="ok">
      <formula>NOT(ISERROR(SEARCH("ok",C31)))</formula>
    </cfRule>
  </conditionalFormatting>
  <conditionalFormatting sqref="C5:D32">
    <cfRule type="cellIs" dxfId="6" priority="9" operator="equal">
      <formula>"n/a"</formula>
    </cfRule>
    <cfRule type="cellIs" dxfId="7" priority="8" operator="equal">
      <formula>"pd"</formula>
    </cfRule>
    <cfRule type="cellIs" dxfId="8" priority="7" operator="equal">
      <formula>"ok"</formula>
    </cfRule>
  </conditionalFormatting>
  <conditionalFormatting sqref="C34:D57">
    <cfRule type="cellIs" dxfId="3" priority="4" operator="equal">
      <formula>"ok"</formula>
    </cfRule>
    <cfRule type="cellIs" dxfId="4" priority="5" operator="equal">
      <formula>"pd"</formula>
    </cfRule>
    <cfRule type="cellIs" dxfId="5" priority="6" operator="equal">
      <formula>"n/a"</formula>
    </cfRule>
  </conditionalFormatting>
  <conditionalFormatting sqref="C59:D72">
    <cfRule type="cellIs" dxfId="0" priority="1" operator="equal">
      <formula>"ok"</formula>
    </cfRule>
    <cfRule type="cellIs" dxfId="1" priority="2" operator="equal">
      <formula>"pd"</formula>
    </cfRule>
    <cfRule type="cellIs" dxfId="2" priority="3" operator="equal">
      <formula>"n/a"</formula>
    </cfRule>
  </conditionalFormatting>
  <printOptions verticalCentered="1"/>
  <pageMargins left="0.25" right="0.25" top="0.75" bottom="0.75" header="0.3" footer="0.3"/>
  <pageSetup scale="5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Hoja1</vt:lpstr>
      <vt:lpstr>Hoja1!Área_de_impresión</vt:lpstr>
      <vt:lpstr>hukjhkjh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PLANTILLA-CHECKLIST-2025</dc:title>
  <dc:creator>Josué Romero</dc:creator>
  <cp:keywords>PQN-COL</cp:keywords>
  <cp:lastModifiedBy>Josué Romero</cp:lastModifiedBy>
  <cp:lastPrinted>2023-10-14T13:02:33Z</cp:lastPrinted>
  <dcterms:created xsi:type="dcterms:W3CDTF">2010-11-04T15:59:22Z</dcterms:created>
  <dcterms:modified xsi:type="dcterms:W3CDTF">2025-12-14T05:03:15Z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